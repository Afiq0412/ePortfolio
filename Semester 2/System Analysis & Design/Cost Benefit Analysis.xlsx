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147273bae1026c4f/Documents/Aa UTM/SEM 2/System Analysis ^0 Design/"/>
    </mc:Choice>
  </mc:AlternateContent>
  <xr:revisionPtr revIDLastSave="2" documentId="8_{A0C1BAF5-AA5A-408D-8A55-135A9D3FA43D}" xr6:coauthVersionLast="47" xr6:coauthVersionMax="47" xr10:uidLastSave="{EB1FC1F9-E51C-4114-8DA9-03EAD7CCFABC}"/>
  <bookViews>
    <workbookView xWindow="-96" yWindow="0" windowWidth="14016" windowHeight="12336" xr2:uid="{523E2838-8248-4E18-B060-0E5586DEFF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1" l="1"/>
  <c r="E50" i="1"/>
  <c r="D50" i="1"/>
  <c r="D23" i="1"/>
  <c r="E49" i="1"/>
  <c r="D49" i="1"/>
  <c r="E48" i="1"/>
  <c r="D48" i="1"/>
  <c r="E47" i="1"/>
  <c r="D47" i="1"/>
  <c r="E46" i="1"/>
  <c r="E45" i="1"/>
  <c r="D45" i="1"/>
  <c r="E42" i="1"/>
  <c r="D42" i="1"/>
  <c r="D41" i="1"/>
  <c r="E41" i="1"/>
  <c r="E40" i="1"/>
  <c r="E38" i="1"/>
  <c r="E39" i="1"/>
  <c r="E37" i="1"/>
  <c r="D40" i="1"/>
  <c r="D39" i="1"/>
  <c r="D38" i="1"/>
  <c r="D37" i="1"/>
  <c r="C34" i="1"/>
  <c r="C33" i="1"/>
  <c r="C32" i="1"/>
  <c r="C31" i="1"/>
  <c r="C35" i="1" s="1"/>
  <c r="AA26" i="1"/>
  <c r="AA25" i="1"/>
  <c r="AA24" i="1"/>
  <c r="AB23" i="1"/>
  <c r="AC23" i="1" s="1"/>
  <c r="AB22" i="1"/>
  <c r="AC22" i="1" s="1"/>
  <c r="Z10" i="1"/>
  <c r="AA16" i="1"/>
  <c r="AA17" i="1" s="1"/>
  <c r="AA18" i="1" s="1"/>
  <c r="AB14" i="1"/>
  <c r="AC14" i="1" s="1"/>
  <c r="AC16" i="1" s="1"/>
  <c r="AC17" i="1" s="1"/>
  <c r="D22" i="1"/>
  <c r="E21" i="1"/>
  <c r="F21" i="1" s="1"/>
  <c r="E20" i="1"/>
  <c r="E22" i="1" s="1"/>
  <c r="E23" i="1" s="1"/>
  <c r="D14" i="1"/>
  <c r="D15" i="1" s="1"/>
  <c r="C9" i="1"/>
  <c r="E12" i="1"/>
  <c r="F12" i="1" s="1"/>
  <c r="F14" i="1" s="1"/>
  <c r="F15" i="1" s="1"/>
  <c r="D24" i="1" l="1"/>
  <c r="E24" i="1" s="1"/>
  <c r="AC24" i="1"/>
  <c r="AC25" i="1" s="1"/>
  <c r="AB24" i="1"/>
  <c r="AB25" i="1" s="1"/>
  <c r="AB26" i="1" s="1"/>
  <c r="AA27" i="1"/>
  <c r="AB16" i="1"/>
  <c r="AB17" i="1" s="1"/>
  <c r="AB18" i="1" s="1"/>
  <c r="AC18" i="1" s="1"/>
  <c r="E14" i="1"/>
  <c r="E15" i="1" s="1"/>
  <c r="F20" i="1"/>
  <c r="F22" i="1" s="1"/>
  <c r="F23" i="1" s="1"/>
  <c r="D16" i="1"/>
  <c r="D25" i="1" l="1"/>
  <c r="AB27" i="1"/>
  <c r="AC26" i="1"/>
  <c r="AC27" i="1" s="1"/>
  <c r="Z29" i="1" s="1"/>
  <c r="F24" i="1"/>
  <c r="E16" i="1"/>
  <c r="F16" i="1" s="1"/>
  <c r="E25" i="1" l="1"/>
  <c r="F25" i="1"/>
  <c r="C26" i="1" s="1"/>
</calcChain>
</file>

<file path=xl/sharedStrings.xml><?xml version="1.0" encoding="utf-8"?>
<sst xmlns="http://schemas.openxmlformats.org/spreadsheetml/2006/main" count="89" uniqueCount="56">
  <si>
    <t>Costs</t>
  </si>
  <si>
    <t>Year 0</t>
  </si>
  <si>
    <t>Year 1</t>
  </si>
  <si>
    <t>Year 2</t>
  </si>
  <si>
    <t>Year 3</t>
  </si>
  <si>
    <t>Development Costs</t>
  </si>
  <si>
    <t>• Hardware</t>
  </si>
  <si>
    <t>• Software</t>
  </si>
  <si>
    <t xml:space="preserve">• Training </t>
  </si>
  <si>
    <t>• Consulting</t>
  </si>
  <si>
    <t>• Data Conversion</t>
  </si>
  <si>
    <t>Total</t>
  </si>
  <si>
    <t>Production Costs</t>
  </si>
  <si>
    <t>• Supplies</t>
  </si>
  <si>
    <t>• IS Salaries</t>
  </si>
  <si>
    <t>• Upgrades</t>
  </si>
  <si>
    <t>Annual Production Costs</t>
  </si>
  <si>
    <t>Present Value</t>
  </si>
  <si>
    <t>Accumulated Costs (Present Value)</t>
  </si>
  <si>
    <t>Benefits</t>
  </si>
  <si>
    <t>•Improve Customer Service</t>
  </si>
  <si>
    <t>•Increase productivity</t>
  </si>
  <si>
    <t>Annual Benefits</t>
  </si>
  <si>
    <t>Accumulated Benefits (Present Value)</t>
  </si>
  <si>
    <t>Gain or Loss</t>
  </si>
  <si>
    <t>Profitability Index</t>
  </si>
  <si>
    <t>Hardware</t>
  </si>
  <si>
    <t>Software</t>
  </si>
  <si>
    <t>Training</t>
  </si>
  <si>
    <t>Consulting</t>
  </si>
  <si>
    <t>Data Conversion</t>
  </si>
  <si>
    <t>Supplies</t>
  </si>
  <si>
    <t>IS Salaries</t>
  </si>
  <si>
    <t>Upgrades</t>
  </si>
  <si>
    <t>Annual Product Costs</t>
  </si>
  <si>
    <t>Present value</t>
  </si>
  <si>
    <t>Accumulated Costs</t>
  </si>
  <si>
    <t>Improve Customer Service</t>
  </si>
  <si>
    <t>Increase Productivity</t>
  </si>
  <si>
    <t>Total Benefits</t>
  </si>
  <si>
    <t>Accumulated benefits</t>
  </si>
  <si>
    <t>Gain and Loss</t>
  </si>
  <si>
    <t>Total (Development Cost)</t>
  </si>
  <si>
    <t>Probablity Index</t>
  </si>
  <si>
    <t>Development Cost</t>
  </si>
  <si>
    <t>• Training</t>
  </si>
  <si>
    <t>• Consultant</t>
  </si>
  <si>
    <t>• Upgrade</t>
  </si>
  <si>
    <t>• Maintenance</t>
  </si>
  <si>
    <t>• Support</t>
  </si>
  <si>
    <t>Accumulated costs</t>
  </si>
  <si>
    <t xml:space="preserve">• Saving </t>
  </si>
  <si>
    <t>• Sales</t>
  </si>
  <si>
    <t>Annual benefits</t>
  </si>
  <si>
    <t>Accumulated Benefits</t>
  </si>
  <si>
    <t>Profibality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</si>
</sst>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4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top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 applyAlignment="1">
      <alignment vertical="top"/>
    </xf>
    <xf numFmtId="2" fontId="0" fillId="0" borderId="4" xfId="0" applyNumberFormat="1" applyBorder="1"/>
    <xf numFmtId="2" fontId="0" fillId="0" borderId="1" xfId="0" applyNumberFormat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2" fontId="0" fillId="0" borderId="0" xfId="0" applyNumberFormat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4" borderId="1" xfId="0" applyFill="1" applyBorder="1"/>
    <xf numFmtId="0" fontId="0" fillId="0" borderId="3" xfId="0" applyFill="1" applyBorder="1"/>
    <xf numFmtId="0" fontId="0" fillId="0" borderId="0" xfId="0" applyFill="1" applyBorder="1"/>
    <xf numFmtId="0" fontId="0" fillId="0" borderId="2" xfId="0" applyFill="1" applyBorder="1"/>
    <xf numFmtId="0" fontId="0" fillId="0" borderId="8" xfId="0" applyBorder="1"/>
    <xf numFmtId="0" fontId="0" fillId="0" borderId="9" xfId="0" applyBorder="1"/>
    <xf numFmtId="0" fontId="0" fillId="5" borderId="1" xfId="0" applyFill="1" applyBorder="1"/>
    <xf numFmtId="0" fontId="0" fillId="5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A504-6F62-4F61-844C-B5364D62885E}">
  <dimension ref="B2:AC51"/>
  <sheetViews>
    <sheetView tabSelected="1" topLeftCell="A28" zoomScaleNormal="100" workbookViewId="0">
      <selection activeCell="D42" sqref="D42"/>
    </sheetView>
  </sheetViews>
  <sheetFormatPr defaultRowHeight="14.4" x14ac:dyDescent="0.3"/>
  <cols>
    <col min="2" max="2" width="32.44140625" customWidth="1"/>
    <col min="3" max="3" width="10.109375" customWidth="1"/>
    <col min="4" max="4" width="11.109375" customWidth="1"/>
    <col min="5" max="5" width="11.33203125" customWidth="1"/>
    <col min="6" max="6" width="12.33203125" customWidth="1"/>
    <col min="8" max="8" width="23.21875" customWidth="1"/>
    <col min="17" max="17" width="32.44140625" customWidth="1"/>
    <col min="25" max="25" width="23.77734375" customWidth="1"/>
    <col min="28" max="29" width="9.5546875" bestFit="1" customWidth="1"/>
    <col min="41" max="41" width="20.88671875" customWidth="1"/>
  </cols>
  <sheetData>
    <row r="2" spans="2:29" x14ac:dyDescent="0.3">
      <c r="B2" s="13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L2" s="21"/>
    </row>
    <row r="3" spans="2:29" x14ac:dyDescent="0.3">
      <c r="B3" s="1" t="s">
        <v>5</v>
      </c>
      <c r="C3" s="1"/>
      <c r="D3" s="1"/>
      <c r="E3" s="1"/>
      <c r="F3" s="1"/>
      <c r="Z3" t="s">
        <v>1</v>
      </c>
      <c r="AA3" t="s">
        <v>2</v>
      </c>
      <c r="AB3" t="s">
        <v>3</v>
      </c>
      <c r="AC3" t="s">
        <v>4</v>
      </c>
    </row>
    <row r="4" spans="2:29" x14ac:dyDescent="0.3">
      <c r="B4" s="2" t="s">
        <v>6</v>
      </c>
      <c r="C4" s="6">
        <v>50000</v>
      </c>
      <c r="D4" s="6"/>
      <c r="E4" s="6"/>
      <c r="F4" s="6"/>
      <c r="Y4" t="s">
        <v>0</v>
      </c>
    </row>
    <row r="5" spans="2:29" x14ac:dyDescent="0.3">
      <c r="B5" s="2" t="s">
        <v>7</v>
      </c>
      <c r="C5" s="6">
        <v>15000</v>
      </c>
      <c r="D5" s="6"/>
      <c r="E5" s="6"/>
      <c r="F5" s="6"/>
      <c r="Y5" t="s">
        <v>26</v>
      </c>
      <c r="Z5">
        <v>50000</v>
      </c>
    </row>
    <row r="6" spans="2:29" x14ac:dyDescent="0.3">
      <c r="B6" s="2" t="s">
        <v>8</v>
      </c>
      <c r="C6" s="6">
        <v>30000</v>
      </c>
      <c r="D6" s="6"/>
      <c r="E6" s="6"/>
      <c r="F6" s="6"/>
      <c r="Y6" t="s">
        <v>27</v>
      </c>
      <c r="Z6">
        <v>15000</v>
      </c>
    </row>
    <row r="7" spans="2:29" x14ac:dyDescent="0.3">
      <c r="B7" s="2" t="s">
        <v>9</v>
      </c>
      <c r="C7" s="6">
        <v>80000</v>
      </c>
      <c r="D7" s="6"/>
      <c r="E7" s="6"/>
      <c r="F7" s="6"/>
      <c r="Y7" t="s">
        <v>28</v>
      </c>
      <c r="Z7">
        <v>30000</v>
      </c>
    </row>
    <row r="8" spans="2:29" x14ac:dyDescent="0.3">
      <c r="B8" s="3" t="s">
        <v>10</v>
      </c>
      <c r="C8" s="7">
        <v>40000</v>
      </c>
      <c r="D8" s="7"/>
      <c r="E8" s="7"/>
      <c r="F8" s="7"/>
      <c r="Y8" t="s">
        <v>29</v>
      </c>
      <c r="Z8">
        <v>80000</v>
      </c>
    </row>
    <row r="9" spans="2:29" x14ac:dyDescent="0.3">
      <c r="B9" s="9" t="s">
        <v>11</v>
      </c>
      <c r="C9" s="5">
        <f>SUM(C4:C8)</f>
        <v>215000</v>
      </c>
      <c r="D9" s="5"/>
      <c r="E9" s="5"/>
      <c r="F9" s="5"/>
      <c r="Y9" t="s">
        <v>30</v>
      </c>
      <c r="Z9">
        <v>40000</v>
      </c>
    </row>
    <row r="10" spans="2:29" x14ac:dyDescent="0.3">
      <c r="B10" s="1" t="s">
        <v>12</v>
      </c>
      <c r="C10" s="8"/>
      <c r="D10" s="8"/>
      <c r="E10" s="8"/>
      <c r="F10" s="8"/>
      <c r="Y10" t="s">
        <v>42</v>
      </c>
      <c r="Z10">
        <f>SUM(Z5:Z9)</f>
        <v>215000</v>
      </c>
    </row>
    <row r="11" spans="2:29" x14ac:dyDescent="0.3">
      <c r="B11" s="2" t="s">
        <v>13</v>
      </c>
      <c r="C11" s="6"/>
      <c r="D11" s="6">
        <v>15000</v>
      </c>
      <c r="E11" s="6">
        <v>15000</v>
      </c>
      <c r="F11" s="6">
        <v>15000</v>
      </c>
    </row>
    <row r="12" spans="2:29" x14ac:dyDescent="0.3">
      <c r="B12" s="2" t="s">
        <v>14</v>
      </c>
      <c r="C12" s="6"/>
      <c r="D12" s="6">
        <v>75000</v>
      </c>
      <c r="E12" s="6">
        <f>D12*110/100</f>
        <v>82500</v>
      </c>
      <c r="F12" s="6">
        <f>E12*110/100</f>
        <v>90750</v>
      </c>
      <c r="Y12" t="s">
        <v>12</v>
      </c>
    </row>
    <row r="13" spans="2:29" x14ac:dyDescent="0.3">
      <c r="B13" s="3" t="s">
        <v>15</v>
      </c>
      <c r="C13" s="7"/>
      <c r="D13" s="7">
        <v>10000</v>
      </c>
      <c r="E13" s="7">
        <v>10000</v>
      </c>
      <c r="F13" s="7">
        <v>10000</v>
      </c>
      <c r="Y13" t="s">
        <v>31</v>
      </c>
      <c r="AA13">
        <v>15000</v>
      </c>
      <c r="AB13">
        <v>15000</v>
      </c>
      <c r="AC13">
        <v>15000</v>
      </c>
    </row>
    <row r="14" spans="2:29" ht="15.6" customHeight="1" x14ac:dyDescent="0.3">
      <c r="B14" s="8" t="s">
        <v>16</v>
      </c>
      <c r="C14" s="8"/>
      <c r="D14" s="8">
        <f>SUM(D11:D13)</f>
        <v>100000</v>
      </c>
      <c r="E14" s="8">
        <f t="shared" ref="E14:F14" si="0">SUM(E11:E13)</f>
        <v>107500</v>
      </c>
      <c r="F14" s="8">
        <f t="shared" si="0"/>
        <v>115750</v>
      </c>
      <c r="Y14" t="s">
        <v>32</v>
      </c>
      <c r="AA14">
        <v>75000</v>
      </c>
      <c r="AB14">
        <f>1.1*AA14</f>
        <v>82500</v>
      </c>
      <c r="AC14">
        <f>1.1*AB14</f>
        <v>90750.000000000015</v>
      </c>
    </row>
    <row r="15" spans="2:29" x14ac:dyDescent="0.3">
      <c r="B15" s="7" t="s">
        <v>17</v>
      </c>
      <c r="C15" s="7"/>
      <c r="D15" s="10">
        <f>D14*(1/(1+0.35)^1)</f>
        <v>74074.074074074073</v>
      </c>
      <c r="E15" s="10">
        <f>E14*(1/(1+0.35)^2)</f>
        <v>58984.910836762676</v>
      </c>
      <c r="F15" s="10">
        <f>F14*(1/(1+0.35)^3)</f>
        <v>47045.673931819329</v>
      </c>
      <c r="Y15" t="s">
        <v>33</v>
      </c>
      <c r="AA15">
        <v>10000</v>
      </c>
      <c r="AB15">
        <v>10000</v>
      </c>
      <c r="AC15">
        <v>10000</v>
      </c>
    </row>
    <row r="16" spans="2:29" x14ac:dyDescent="0.3">
      <c r="B16" s="4" t="s">
        <v>18</v>
      </c>
      <c r="C16" s="5"/>
      <c r="D16" s="11">
        <f>C9+D15</f>
        <v>289074.07407407404</v>
      </c>
      <c r="E16" s="11">
        <f>E15+D16</f>
        <v>348058.98491083673</v>
      </c>
      <c r="F16" s="11">
        <f>F15+E16</f>
        <v>395104.65884265606</v>
      </c>
      <c r="Y16" t="s">
        <v>34</v>
      </c>
      <c r="AA16">
        <f>SUM(AA13:AA15)</f>
        <v>100000</v>
      </c>
      <c r="AB16">
        <f t="shared" ref="AB16:AC16" si="1">SUM(AB13:AB15)</f>
        <v>107500</v>
      </c>
      <c r="AC16">
        <f t="shared" si="1"/>
        <v>115750.00000000001</v>
      </c>
    </row>
    <row r="17" spans="2:29" x14ac:dyDescent="0.3">
      <c r="Y17" t="s">
        <v>35</v>
      </c>
      <c r="AA17">
        <f>AA16*(1/(1+0.35)^1)</f>
        <v>74074.074074074073</v>
      </c>
      <c r="AB17">
        <f>AB16*(1/(1+0.35)^2)</f>
        <v>58984.910836762676</v>
      </c>
      <c r="AC17">
        <f>AC16*(1/(1+0.35)^3)</f>
        <v>47045.673931819336</v>
      </c>
    </row>
    <row r="18" spans="2:29" x14ac:dyDescent="0.3">
      <c r="Y18" t="s">
        <v>36</v>
      </c>
      <c r="AA18">
        <f>Z10+AA17</f>
        <v>289074.07407407404</v>
      </c>
      <c r="AB18">
        <f>AA18+AB17</f>
        <v>348058.98491083673</v>
      </c>
      <c r="AC18">
        <f>AB18+AC17</f>
        <v>395104.65884265606</v>
      </c>
    </row>
    <row r="19" spans="2:29" x14ac:dyDescent="0.3">
      <c r="B19" s="19" t="s">
        <v>19</v>
      </c>
      <c r="C19" s="20" t="s">
        <v>1</v>
      </c>
      <c r="D19" s="20" t="s">
        <v>2</v>
      </c>
      <c r="E19" s="20" t="s">
        <v>3</v>
      </c>
      <c r="F19" s="20" t="s">
        <v>4</v>
      </c>
    </row>
    <row r="20" spans="2:29" x14ac:dyDescent="0.3">
      <c r="B20" s="1" t="s">
        <v>20</v>
      </c>
      <c r="C20" s="1"/>
      <c r="D20" s="1">
        <v>150000</v>
      </c>
      <c r="E20" s="1">
        <f>D20*(120/100)</f>
        <v>180000</v>
      </c>
      <c r="F20" s="1">
        <f>E20*(120/100)</f>
        <v>216000</v>
      </c>
    </row>
    <row r="21" spans="2:29" x14ac:dyDescent="0.3">
      <c r="B21" s="3" t="s">
        <v>21</v>
      </c>
      <c r="C21" s="3"/>
      <c r="D21" s="3">
        <v>150000</v>
      </c>
      <c r="E21" s="3">
        <f>D21*(125/100)</f>
        <v>187500</v>
      </c>
      <c r="F21" s="3">
        <f>E21*(125/100)</f>
        <v>234375</v>
      </c>
      <c r="Y21" t="s">
        <v>19</v>
      </c>
      <c r="Z21" t="s">
        <v>1</v>
      </c>
      <c r="AA21" t="s">
        <v>2</v>
      </c>
      <c r="AB21" t="s">
        <v>3</v>
      </c>
      <c r="AC21" t="s">
        <v>4</v>
      </c>
    </row>
    <row r="22" spans="2:29" x14ac:dyDescent="0.3">
      <c r="B22" s="8" t="s">
        <v>22</v>
      </c>
      <c r="C22" s="1"/>
      <c r="D22" s="1">
        <f>SUM(D20:D21)</f>
        <v>300000</v>
      </c>
      <c r="E22" s="1">
        <f t="shared" ref="E22:F22" si="2">SUM(E20:E21)</f>
        <v>367500</v>
      </c>
      <c r="F22" s="1">
        <f t="shared" si="2"/>
        <v>450375</v>
      </c>
      <c r="Y22" t="s">
        <v>37</v>
      </c>
      <c r="AA22">
        <v>150000</v>
      </c>
      <c r="AB22">
        <f>AA22*1.2</f>
        <v>180000</v>
      </c>
      <c r="AC22">
        <f>AB22*1.2</f>
        <v>216000</v>
      </c>
    </row>
    <row r="23" spans="2:29" x14ac:dyDescent="0.3">
      <c r="B23" s="7" t="s">
        <v>17</v>
      </c>
      <c r="C23" s="3"/>
      <c r="D23" s="17">
        <f>D22*(1/(1+0.35)^1)</f>
        <v>222222.22222222222</v>
      </c>
      <c r="E23" s="17">
        <f>E22*(1/(1+0.35)^2)</f>
        <v>201646.09053497939</v>
      </c>
      <c r="F23" s="17">
        <f>F22*(1/(1+0.35)^3)</f>
        <v>183051.36412132296</v>
      </c>
      <c r="Y23" t="s">
        <v>38</v>
      </c>
      <c r="AA23">
        <v>150000</v>
      </c>
      <c r="AB23">
        <f>AA23*1.25</f>
        <v>187500</v>
      </c>
      <c r="AC23">
        <f>AB23*1.25</f>
        <v>234375</v>
      </c>
    </row>
    <row r="24" spans="2:29" x14ac:dyDescent="0.3">
      <c r="B24" s="4" t="s">
        <v>23</v>
      </c>
      <c r="C24" s="4"/>
      <c r="D24" s="18">
        <f>D23</f>
        <v>222222.22222222222</v>
      </c>
      <c r="E24" s="18">
        <f>D24+E23</f>
        <v>423868.31275720161</v>
      </c>
      <c r="F24" s="18">
        <f>E24+F23</f>
        <v>606919.67687852459</v>
      </c>
      <c r="Y24" t="s">
        <v>39</v>
      </c>
      <c r="AA24">
        <f>SUM(AA22:AA23)</f>
        <v>300000</v>
      </c>
      <c r="AB24">
        <f t="shared" ref="AB24:AC24" si="3">SUM(AB22:AB23)</f>
        <v>367500</v>
      </c>
      <c r="AC24">
        <f t="shared" si="3"/>
        <v>450375</v>
      </c>
    </row>
    <row r="25" spans="2:29" ht="13.2" customHeight="1" x14ac:dyDescent="0.3">
      <c r="B25" s="12" t="s">
        <v>24</v>
      </c>
      <c r="C25" s="12"/>
      <c r="D25" s="16">
        <f>D24-D16</f>
        <v>-66851.851851851825</v>
      </c>
      <c r="E25" s="16">
        <f t="shared" ref="E25:F25" si="4">E24-E16</f>
        <v>75809.327846364875</v>
      </c>
      <c r="F25" s="16">
        <f t="shared" si="4"/>
        <v>211815.01803586853</v>
      </c>
      <c r="Y25" t="s">
        <v>17</v>
      </c>
      <c r="AA25">
        <f>AA24*(1/(1+0.35)^1)</f>
        <v>222222.22222222222</v>
      </c>
      <c r="AB25">
        <f>AB24*(1/(1+0.35)^2)</f>
        <v>201646.09053497939</v>
      </c>
      <c r="AC25">
        <f>AC24*(1/(1+0.35)^3)</f>
        <v>183051.36412132296</v>
      </c>
    </row>
    <row r="26" spans="2:29" x14ac:dyDescent="0.3">
      <c r="B26" s="4" t="s">
        <v>25</v>
      </c>
      <c r="C26" s="15">
        <f>F25/C9</f>
        <v>0.98518613039938852</v>
      </c>
      <c r="D26" s="4"/>
      <c r="E26" s="4"/>
      <c r="F26" s="4"/>
      <c r="Y26" t="s">
        <v>40</v>
      </c>
      <c r="AA26">
        <f>AA25</f>
        <v>222222.22222222222</v>
      </c>
      <c r="AB26" s="22">
        <f>AA26+AB25</f>
        <v>423868.31275720161</v>
      </c>
      <c r="AC26" s="22">
        <f>AC25+AB26</f>
        <v>606919.67687852459</v>
      </c>
    </row>
    <row r="27" spans="2:29" x14ac:dyDescent="0.3">
      <c r="Y27" t="s">
        <v>41</v>
      </c>
      <c r="AA27">
        <f>AA26-AA18</f>
        <v>-66851.851851851825</v>
      </c>
      <c r="AB27">
        <f t="shared" ref="AB27:AC27" si="5">AB26-AB18</f>
        <v>75809.327846364875</v>
      </c>
      <c r="AC27">
        <f t="shared" si="5"/>
        <v>211815.01803586853</v>
      </c>
    </row>
    <row r="28" spans="2:29" x14ac:dyDescent="0.3">
      <c r="F28" s="23"/>
    </row>
    <row r="29" spans="2:29" x14ac:dyDescent="0.3">
      <c r="B29" s="26" t="s">
        <v>0</v>
      </c>
      <c r="C29" s="26" t="s">
        <v>1</v>
      </c>
      <c r="D29" s="26" t="s">
        <v>2</v>
      </c>
      <c r="E29" s="26" t="s">
        <v>3</v>
      </c>
      <c r="F29" s="28"/>
      <c r="Y29" t="s">
        <v>43</v>
      </c>
      <c r="Z29">
        <f>AC27/Z10</f>
        <v>0.98518613039938852</v>
      </c>
    </row>
    <row r="30" spans="2:29" x14ac:dyDescent="0.3">
      <c r="B30" s="1" t="s">
        <v>44</v>
      </c>
      <c r="C30" s="2"/>
      <c r="D30" s="2"/>
      <c r="E30" s="2"/>
      <c r="F30" s="23"/>
    </row>
    <row r="31" spans="2:29" x14ac:dyDescent="0.3">
      <c r="B31" s="2" t="s">
        <v>6</v>
      </c>
      <c r="C31" s="2">
        <f>55000*1.5</f>
        <v>82500</v>
      </c>
      <c r="D31" s="2"/>
      <c r="E31" s="2"/>
      <c r="F31" s="23"/>
    </row>
    <row r="32" spans="2:29" x14ac:dyDescent="0.3">
      <c r="B32" s="2" t="s">
        <v>7</v>
      </c>
      <c r="C32" s="2">
        <f>22000*1.5</f>
        <v>33000</v>
      </c>
      <c r="D32" s="2"/>
      <c r="E32" s="2"/>
      <c r="F32" s="23"/>
    </row>
    <row r="33" spans="2:6" x14ac:dyDescent="0.3">
      <c r="B33" s="2" t="s">
        <v>45</v>
      </c>
      <c r="C33" s="2">
        <f>25000*1.5</f>
        <v>37500</v>
      </c>
      <c r="D33" s="2"/>
      <c r="E33" s="2"/>
      <c r="F33" s="23"/>
    </row>
    <row r="34" spans="2:6" x14ac:dyDescent="0.3">
      <c r="B34" s="3" t="s">
        <v>46</v>
      </c>
      <c r="C34" s="3">
        <f>75000*1.5</f>
        <v>112500</v>
      </c>
      <c r="D34" s="3"/>
      <c r="E34" s="3"/>
      <c r="F34" s="23"/>
    </row>
    <row r="35" spans="2:6" x14ac:dyDescent="0.3">
      <c r="B35" s="7" t="s">
        <v>11</v>
      </c>
      <c r="C35" s="3">
        <f>SUM(C31:C34)</f>
        <v>265500</v>
      </c>
      <c r="D35" s="3"/>
      <c r="E35" s="3"/>
      <c r="F35" s="23"/>
    </row>
    <row r="36" spans="2:6" x14ac:dyDescent="0.3">
      <c r="B36" s="29" t="s">
        <v>12</v>
      </c>
      <c r="C36" s="1"/>
      <c r="D36" s="1"/>
      <c r="E36" s="1"/>
    </row>
    <row r="37" spans="2:6" x14ac:dyDescent="0.3">
      <c r="B37" s="27" t="s">
        <v>47</v>
      </c>
      <c r="C37" s="24"/>
      <c r="D37" s="2">
        <f>10000*1.5</f>
        <v>15000</v>
      </c>
      <c r="E37" s="2">
        <f>15000*1.05</f>
        <v>15750</v>
      </c>
    </row>
    <row r="38" spans="2:6" x14ac:dyDescent="0.3">
      <c r="B38" s="2" t="s">
        <v>48</v>
      </c>
      <c r="C38" s="24"/>
      <c r="D38" s="2">
        <f>24000*1.5</f>
        <v>36000</v>
      </c>
      <c r="E38" s="2">
        <f>D38*1.05</f>
        <v>37800</v>
      </c>
    </row>
    <row r="39" spans="2:6" x14ac:dyDescent="0.3">
      <c r="B39" s="3" t="s">
        <v>49</v>
      </c>
      <c r="C39" s="3"/>
      <c r="D39" s="3">
        <f>36400*1.5</f>
        <v>54600</v>
      </c>
      <c r="E39" s="3">
        <f>D39*1.05</f>
        <v>57330</v>
      </c>
    </row>
    <row r="40" spans="2:6" x14ac:dyDescent="0.3">
      <c r="B40" s="1" t="s">
        <v>16</v>
      </c>
      <c r="C40" s="1"/>
      <c r="D40" s="1">
        <f>SUM(D37:D39)</f>
        <v>105600</v>
      </c>
      <c r="E40" s="1">
        <f>SUM(E37:E39)</f>
        <v>110880</v>
      </c>
    </row>
    <row r="41" spans="2:6" x14ac:dyDescent="0.3">
      <c r="B41" s="3" t="s">
        <v>17</v>
      </c>
      <c r="C41" s="25"/>
      <c r="D41" s="3">
        <f>D40*(1/(1+0.15)^1)</f>
        <v>91826.086956521744</v>
      </c>
      <c r="E41" s="3">
        <f>E40*(1/(1+0.15)^2)</f>
        <v>83841.209829867686</v>
      </c>
    </row>
    <row r="42" spans="2:6" x14ac:dyDescent="0.3">
      <c r="B42" s="4" t="s">
        <v>50</v>
      </c>
      <c r="C42" s="4"/>
      <c r="D42" s="31">
        <f>SUM(D41+C35)</f>
        <v>357326.08695652173</v>
      </c>
      <c r="E42" s="30">
        <f>D42+E41</f>
        <v>441167.29678638943</v>
      </c>
    </row>
    <row r="44" spans="2:6" x14ac:dyDescent="0.3">
      <c r="B44" s="33" t="s">
        <v>19</v>
      </c>
      <c r="C44" s="32" t="s">
        <v>1</v>
      </c>
      <c r="D44" s="32" t="s">
        <v>2</v>
      </c>
      <c r="E44" s="32" t="s">
        <v>3</v>
      </c>
    </row>
    <row r="45" spans="2:6" x14ac:dyDescent="0.3">
      <c r="B45" t="s">
        <v>51</v>
      </c>
      <c r="D45">
        <f>100000*2</f>
        <v>200000</v>
      </c>
      <c r="E45">
        <f>D45*1.07</f>
        <v>214000</v>
      </c>
    </row>
    <row r="46" spans="2:6" x14ac:dyDescent="0.3">
      <c r="B46" t="s">
        <v>52</v>
      </c>
      <c r="D46">
        <v>100000</v>
      </c>
      <c r="E46">
        <f>100000*1.07</f>
        <v>107000</v>
      </c>
    </row>
    <row r="47" spans="2:6" x14ac:dyDescent="0.3">
      <c r="B47" t="s">
        <v>53</v>
      </c>
      <c r="D47">
        <f>D45+D46</f>
        <v>300000</v>
      </c>
      <c r="E47">
        <f>E45+E46</f>
        <v>321000</v>
      </c>
    </row>
    <row r="48" spans="2:6" x14ac:dyDescent="0.3">
      <c r="B48" t="s">
        <v>35</v>
      </c>
      <c r="D48">
        <f>D47*(1/(1+0.35)^1)</f>
        <v>222222.22222222222</v>
      </c>
      <c r="E48">
        <f>E47*(1/(1+0.35)^2)</f>
        <v>176131.68724279833</v>
      </c>
    </row>
    <row r="49" spans="2:5" x14ac:dyDescent="0.3">
      <c r="B49" t="s">
        <v>54</v>
      </c>
      <c r="D49">
        <f>D48</f>
        <v>222222.22222222222</v>
      </c>
      <c r="E49">
        <f>D49+E48</f>
        <v>398353.90946502052</v>
      </c>
    </row>
    <row r="50" spans="2:5" x14ac:dyDescent="0.3">
      <c r="B50" t="s">
        <v>24</v>
      </c>
      <c r="D50">
        <f>D49-C35</f>
        <v>-43277.777777777781</v>
      </c>
      <c r="E50">
        <f>E49-C35</f>
        <v>132853.90946502052</v>
      </c>
    </row>
    <row r="51" spans="2:5" x14ac:dyDescent="0.3">
      <c r="B51" t="s">
        <v>55</v>
      </c>
      <c r="C51">
        <f>E50/C35</f>
        <v>0.50039137274960643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Alif Fathi</dc:creator>
  <cp:keywords/>
  <dc:description/>
  <cp:lastModifiedBy>Afiq Danial</cp:lastModifiedBy>
  <cp:revision/>
  <dcterms:created xsi:type="dcterms:W3CDTF">2024-04-15T11:51:42Z</dcterms:created>
  <dcterms:modified xsi:type="dcterms:W3CDTF">2024-04-27T16:32:36Z</dcterms:modified>
  <cp:category/>
  <cp:contentStatus/>
</cp:coreProperties>
</file>